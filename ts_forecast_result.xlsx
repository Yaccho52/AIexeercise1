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数据" sheetId="1" state="visible" r:id="rId1"/>
    <sheet xmlns:r="http://schemas.openxmlformats.org/officeDocument/2006/relationships" name="模型公式" sheetId="2" state="visible" r:id="rId2"/>
    <sheet xmlns:r="http://schemas.openxmlformats.org/officeDocument/2006/relationships" name="训练段拟合" sheetId="3" state="visible" r:id="rId3"/>
    <sheet xmlns:r="http://schemas.openxmlformats.org/officeDocument/2006/relationships" name="留出段预测" sheetId="4" state="visible" r:id="rId4"/>
    <sheet xmlns:r="http://schemas.openxmlformats.org/officeDocument/2006/relationships" name="预测区间" sheetId="5" state="visible" r:id="rId5"/>
    <sheet xmlns:r="http://schemas.openxmlformats.org/officeDocument/2006/relationships" name="模型对比" sheetId="6" state="visible" r:id="rId6"/>
    <sheet xmlns:r="http://schemas.openxmlformats.org/officeDocument/2006/relationships" name="SES平滑值" sheetId="7" state="visible" r:id="rId7"/>
    <sheet xmlns:r="http://schemas.openxmlformats.org/officeDocument/2006/relationships" name="走势图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7F7F7F"/>
      <sz val="9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训练段：观测值与各模型拟合值</a:t>
            </a:r>
          </a:p>
        </rich>
      </tx>
    </title>
    <plotArea>
      <lineChart>
        <grouping val="standard"/>
        <ser>
          <idx val="0"/>
          <order val="0"/>
          <tx>
            <strRef>
              <f>'训练段拟合'!B4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'训练段拟合'!$A$5:$A$23</f>
            </numRef>
          </cat>
          <val>
            <numRef>
              <f>'训练段拟合'!$B$5:$B$23</f>
            </numRef>
          </val>
        </ser>
        <ser>
          <idx val="1"/>
          <order val="1"/>
          <tx>
            <strRef>
              <f>'训练段拟合'!C4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'训练段拟合'!$A$5:$A$23</f>
            </numRef>
          </cat>
          <val>
            <numRef>
              <f>'训练段拟合'!$C$5:$C$23</f>
            </numRef>
          </val>
        </ser>
        <ser>
          <idx val="2"/>
          <order val="2"/>
          <tx>
            <strRef>
              <f>'训练段拟合'!D4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'训练段拟合'!$A$5:$A$23</f>
            </numRef>
          </cat>
          <val>
            <numRef>
              <f>'训练段拟合'!$D$5:$D$23</f>
            </numRef>
          </val>
        </ser>
        <ser>
          <idx val="3"/>
          <order val="3"/>
          <tx>
            <strRef>
              <f>'训练段拟合'!E4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'训练段拟合'!$A$5:$A$23</f>
            </numRef>
          </cat>
          <val>
            <numRef>
              <f>'训练段拟合'!$E$5:$E$23</f>
            </numRef>
          </val>
        </ser>
        <ser>
          <idx val="4"/>
          <order val="4"/>
          <tx>
            <strRef>
              <f>'训练段拟合'!F4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'训练段拟合'!$A$5:$A$23</f>
            </numRef>
          </cat>
          <val>
            <numRef>
              <f>'训练段拟合'!$F$5:$F$23</f>
            </numRef>
          </val>
        </ser>
        <ser>
          <idx val="5"/>
          <order val="5"/>
          <tx>
            <strRef>
              <f>'训练段拟合'!G4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'训练段拟合'!$A$5:$A$23</f>
            </numRef>
          </cat>
          <val>
            <numRef>
              <f>'训练段拟合'!$G$5:$G$23</f>
            </numRef>
          </val>
        </ser>
        <ser>
          <idx val="6"/>
          <order val="6"/>
          <tx>
            <strRef>
              <f>'训练段拟合'!H4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'训练段拟合'!$A$5:$A$23</f>
            </numRef>
          </cat>
          <val>
            <numRef>
              <f>'训练段拟合'!$H$5:$H$23</f>
            </numRef>
          </val>
        </ser>
        <ser>
          <idx val="7"/>
          <order val="7"/>
          <tx>
            <strRef>
              <f>'训练段拟合'!I4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'训练段拟合'!$A$5:$A$23</f>
            </numRef>
          </cat>
          <val>
            <numRef>
              <f>'训练段拟合'!$I$5:$I$23</f>
            </numRef>
          </val>
        </ser>
        <ser>
          <idx val="8"/>
          <order val="8"/>
          <tx>
            <strRef>
              <f>'训练段拟合'!J4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'训练段拟合'!$A$5:$A$23</f>
            </numRef>
          </cat>
          <val>
            <numRef>
              <f>'训练段拟合'!$J$5:$J$23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时点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观测值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观测值与各模型留出段预测</a:t>
            </a:r>
          </a:p>
        </rich>
      </tx>
    </title>
    <plotArea>
      <lineChart>
        <grouping val="standard"/>
        <ser>
          <idx val="0"/>
          <order val="0"/>
          <tx>
            <strRef>
              <f>'走势图'!B3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'走势图'!$A$4:$A$16</f>
            </numRef>
          </cat>
          <val>
            <numRef>
              <f>'走势图'!$B$4:$B$16</f>
            </numRef>
          </val>
        </ser>
        <ser>
          <idx val="1"/>
          <order val="1"/>
          <tx>
            <strRef>
              <f>'走势图'!C3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'走势图'!$A$4:$A$16</f>
            </numRef>
          </cat>
          <val>
            <numRef>
              <f>'走势图'!$C$4:$C$16</f>
            </numRef>
          </val>
        </ser>
        <ser>
          <idx val="2"/>
          <order val="2"/>
          <tx>
            <strRef>
              <f>'走势图'!D3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'走势图'!$A$4:$A$16</f>
            </numRef>
          </cat>
          <val>
            <numRef>
              <f>'走势图'!$D$4:$D$16</f>
            </numRef>
          </val>
        </ser>
        <ser>
          <idx val="3"/>
          <order val="3"/>
          <tx>
            <strRef>
              <f>'走势图'!E3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'走势图'!$A$4:$A$16</f>
            </numRef>
          </cat>
          <val>
            <numRef>
              <f>'走势图'!$E$4:$E$16</f>
            </numRef>
          </val>
        </ser>
        <ser>
          <idx val="4"/>
          <order val="4"/>
          <tx>
            <strRef>
              <f>'走势图'!F3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'走势图'!$A$4:$A$16</f>
            </numRef>
          </cat>
          <val>
            <numRef>
              <f>'走势图'!$F$4:$F$16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时点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观测值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</cols>
  <sheetData>
    <row r="1" ht="20" customHeight="1">
      <c r="A1" s="1" t="inlineStr">
        <is>
          <t>输入数据</t>
        </is>
      </c>
    </row>
    <row r="2" ht="16" customHeight="1">
      <c r="A2" s="2" t="inlineStr">
        <is>
          <t>共 24 期观测值：前 19 期用于建模，第 20 ~ 24 期用于检验</t>
        </is>
      </c>
    </row>
    <row r="4" ht="30" customHeight="1">
      <c r="A4" s="3" t="inlineStr">
        <is>
          <t>序号</t>
        </is>
      </c>
      <c r="B4" s="3" t="inlineStr">
        <is>
          <t>时点</t>
        </is>
      </c>
      <c r="C4" s="3" t="inlineStr">
        <is>
          <t>观测值 y_t</t>
        </is>
      </c>
      <c r="D4" s="3" t="inlineStr">
        <is>
          <t>用途</t>
        </is>
      </c>
    </row>
    <row r="5">
      <c r="A5" s="4" t="n">
        <v>1</v>
      </c>
      <c r="B5" s="4" t="inlineStr">
        <is>
          <t>T1</t>
        </is>
      </c>
      <c r="C5" s="5" t="n">
        <v>112</v>
      </c>
      <c r="D5" s="4" t="inlineStr">
        <is>
          <t>训练段（建模）</t>
        </is>
      </c>
    </row>
    <row r="6">
      <c r="A6" s="4" t="n">
        <v>2</v>
      </c>
      <c r="B6" s="4" t="inlineStr">
        <is>
          <t>T2</t>
        </is>
      </c>
      <c r="C6" s="5" t="n">
        <v>118</v>
      </c>
      <c r="D6" s="4" t="inlineStr">
        <is>
          <t>训练段（建模）</t>
        </is>
      </c>
    </row>
    <row r="7">
      <c r="A7" s="4" t="n">
        <v>3</v>
      </c>
      <c r="B7" s="4" t="inlineStr">
        <is>
          <t>T3</t>
        </is>
      </c>
      <c r="C7" s="5" t="n">
        <v>109</v>
      </c>
      <c r="D7" s="4" t="inlineStr">
        <is>
          <t>训练段（建模）</t>
        </is>
      </c>
    </row>
    <row r="8">
      <c r="A8" s="4" t="n">
        <v>4</v>
      </c>
      <c r="B8" s="4" t="inlineStr">
        <is>
          <t>T4</t>
        </is>
      </c>
      <c r="C8" s="5" t="n">
        <v>121</v>
      </c>
      <c r="D8" s="4" t="inlineStr">
        <is>
          <t>训练段（建模）</t>
        </is>
      </c>
    </row>
    <row r="9">
      <c r="A9" s="4" t="n">
        <v>5</v>
      </c>
      <c r="B9" s="4" t="inlineStr">
        <is>
          <t>T5</t>
        </is>
      </c>
      <c r="C9" s="5" t="n">
        <v>125</v>
      </c>
      <c r="D9" s="4" t="inlineStr">
        <is>
          <t>训练段（建模）</t>
        </is>
      </c>
    </row>
    <row r="10">
      <c r="A10" s="4" t="n">
        <v>6</v>
      </c>
      <c r="B10" s="4" t="inlineStr">
        <is>
          <t>T6</t>
        </is>
      </c>
      <c r="C10" s="5" t="n">
        <v>117</v>
      </c>
      <c r="D10" s="4" t="inlineStr">
        <is>
          <t>训练段（建模）</t>
        </is>
      </c>
    </row>
    <row r="11">
      <c r="A11" s="4" t="n">
        <v>7</v>
      </c>
      <c r="B11" s="4" t="inlineStr">
        <is>
          <t>T7</t>
        </is>
      </c>
      <c r="C11" s="5" t="n">
        <v>130</v>
      </c>
      <c r="D11" s="4" t="inlineStr">
        <is>
          <t>训练段（建模）</t>
        </is>
      </c>
    </row>
    <row r="12">
      <c r="A12" s="4" t="n">
        <v>8</v>
      </c>
      <c r="B12" s="4" t="inlineStr">
        <is>
          <t>T8</t>
        </is>
      </c>
      <c r="C12" s="5" t="n">
        <v>128</v>
      </c>
      <c r="D12" s="4" t="inlineStr">
        <is>
          <t>训练段（建模）</t>
        </is>
      </c>
    </row>
    <row r="13">
      <c r="A13" s="4" t="n">
        <v>9</v>
      </c>
      <c r="B13" s="4" t="inlineStr">
        <is>
          <t>T9</t>
        </is>
      </c>
      <c r="C13" s="5" t="n">
        <v>137</v>
      </c>
      <c r="D13" s="4" t="inlineStr">
        <is>
          <t>训练段（建模）</t>
        </is>
      </c>
    </row>
    <row r="14">
      <c r="A14" s="4" t="n">
        <v>10</v>
      </c>
      <c r="B14" s="4" t="inlineStr">
        <is>
          <t>T10</t>
        </is>
      </c>
      <c r="C14" s="5" t="n">
        <v>134</v>
      </c>
      <c r="D14" s="4" t="inlineStr">
        <is>
          <t>训练段（建模）</t>
        </is>
      </c>
    </row>
    <row r="15">
      <c r="A15" s="4" t="n">
        <v>11</v>
      </c>
      <c r="B15" s="4" t="inlineStr">
        <is>
          <t>T11</t>
        </is>
      </c>
      <c r="C15" s="5" t="n">
        <v>141</v>
      </c>
      <c r="D15" s="4" t="inlineStr">
        <is>
          <t>训练段（建模）</t>
        </is>
      </c>
    </row>
    <row r="16">
      <c r="A16" s="4" t="n">
        <v>12</v>
      </c>
      <c r="B16" s="4" t="inlineStr">
        <is>
          <t>T12</t>
        </is>
      </c>
      <c r="C16" s="5" t="n">
        <v>146</v>
      </c>
      <c r="D16" s="4" t="inlineStr">
        <is>
          <t>训练段（建模）</t>
        </is>
      </c>
    </row>
    <row r="17">
      <c r="A17" s="4" t="n">
        <v>13</v>
      </c>
      <c r="B17" s="4" t="inlineStr">
        <is>
          <t>T13</t>
        </is>
      </c>
      <c r="C17" s="5" t="n">
        <v>139</v>
      </c>
      <c r="D17" s="4" t="inlineStr">
        <is>
          <t>训练段（建模）</t>
        </is>
      </c>
    </row>
    <row r="18">
      <c r="A18" s="4" t="n">
        <v>14</v>
      </c>
      <c r="B18" s="4" t="inlineStr">
        <is>
          <t>T14</t>
        </is>
      </c>
      <c r="C18" s="5" t="n">
        <v>152</v>
      </c>
      <c r="D18" s="4" t="inlineStr">
        <is>
          <t>训练段（建模）</t>
        </is>
      </c>
    </row>
    <row r="19">
      <c r="A19" s="4" t="n">
        <v>15</v>
      </c>
      <c r="B19" s="4" t="inlineStr">
        <is>
          <t>T15</t>
        </is>
      </c>
      <c r="C19" s="5" t="n">
        <v>148</v>
      </c>
      <c r="D19" s="4" t="inlineStr">
        <is>
          <t>训练段（建模）</t>
        </is>
      </c>
    </row>
    <row r="20">
      <c r="A20" s="4" t="n">
        <v>16</v>
      </c>
      <c r="B20" s="4" t="inlineStr">
        <is>
          <t>T16</t>
        </is>
      </c>
      <c r="C20" s="5" t="n">
        <v>157</v>
      </c>
      <c r="D20" s="4" t="inlineStr">
        <is>
          <t>训练段（建模）</t>
        </is>
      </c>
    </row>
    <row r="21">
      <c r="A21" s="4" t="n">
        <v>17</v>
      </c>
      <c r="B21" s="4" t="inlineStr">
        <is>
          <t>T17</t>
        </is>
      </c>
      <c r="C21" s="5" t="n">
        <v>161</v>
      </c>
      <c r="D21" s="4" t="inlineStr">
        <is>
          <t>训练段（建模）</t>
        </is>
      </c>
    </row>
    <row r="22">
      <c r="A22" s="4" t="n">
        <v>18</v>
      </c>
      <c r="B22" s="4" t="inlineStr">
        <is>
          <t>T18</t>
        </is>
      </c>
      <c r="C22" s="5" t="n">
        <v>154</v>
      </c>
      <c r="D22" s="4" t="inlineStr">
        <is>
          <t>训练段（建模）</t>
        </is>
      </c>
    </row>
    <row r="23">
      <c r="A23" s="4" t="n">
        <v>19</v>
      </c>
      <c r="B23" s="4" t="inlineStr">
        <is>
          <t>T19</t>
        </is>
      </c>
      <c r="C23" s="5" t="n">
        <v>166</v>
      </c>
      <c r="D23" s="4" t="inlineStr">
        <is>
          <t>训练段（建模）</t>
        </is>
      </c>
    </row>
    <row r="24">
      <c r="A24" s="4" t="n">
        <v>20</v>
      </c>
      <c r="B24" s="4" t="inlineStr">
        <is>
          <t>T20</t>
        </is>
      </c>
      <c r="C24" s="5" t="n">
        <v>163</v>
      </c>
      <c r="D24" s="4" t="inlineStr">
        <is>
          <t>留出段（检验）</t>
        </is>
      </c>
    </row>
    <row r="25">
      <c r="A25" s="4" t="n">
        <v>21</v>
      </c>
      <c r="B25" s="4" t="inlineStr">
        <is>
          <t>T21</t>
        </is>
      </c>
      <c r="C25" s="5" t="n">
        <v>172</v>
      </c>
      <c r="D25" s="4" t="inlineStr">
        <is>
          <t>留出段（检验）</t>
        </is>
      </c>
    </row>
    <row r="26">
      <c r="A26" s="4" t="n">
        <v>22</v>
      </c>
      <c r="B26" s="4" t="inlineStr">
        <is>
          <t>T22</t>
        </is>
      </c>
      <c r="C26" s="5" t="n">
        <v>175</v>
      </c>
      <c r="D26" s="4" t="inlineStr">
        <is>
          <t>留出段（检验）</t>
        </is>
      </c>
    </row>
    <row r="27">
      <c r="A27" s="4" t="n">
        <v>23</v>
      </c>
      <c r="B27" s="4" t="inlineStr">
        <is>
          <t>T23</t>
        </is>
      </c>
      <c r="C27" s="5" t="n">
        <v>169</v>
      </c>
      <c r="D27" s="4" t="inlineStr">
        <is>
          <t>留出段（检验）</t>
        </is>
      </c>
    </row>
    <row r="28">
      <c r="A28" s="4" t="n">
        <v>24</v>
      </c>
      <c r="B28" s="4" t="inlineStr">
        <is>
          <t>T24</t>
        </is>
      </c>
      <c r="C28" s="5" t="n">
        <v>181</v>
      </c>
      <c r="D28" s="4" t="inlineStr">
        <is>
          <t>留出段（检验）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44" customWidth="1" min="3" max="3"/>
    <col width="44" customWidth="1" min="4" max="4"/>
  </cols>
  <sheetData>
    <row r="1" ht="20" customHeight="1">
      <c r="A1" s="1" t="inlineStr">
        <is>
          <t>各模型的数学公式</t>
        </is>
      </c>
    </row>
    <row r="2" ht="16" customHeight="1">
      <c r="A2" s="2" t="inlineStr">
        <is>
          <t>记号：t 为期数（1, 2, 3…），y_t 为第 t 期实际值，y_hat_t 为第 t 期预测值，n 为训练段期数，T 为训练段末期数</t>
        </is>
      </c>
    </row>
    <row r="4" ht="30" customHeight="1">
      <c r="A4" s="3" t="inlineStr">
        <is>
          <t>模型</t>
        </is>
      </c>
      <c r="B4" s="3" t="inlineStr">
        <is>
          <t>参数</t>
        </is>
      </c>
      <c r="C4" s="3" t="inlineStr">
        <is>
          <t>公式</t>
        </is>
      </c>
      <c r="D4" s="3" t="inlineStr">
        <is>
          <t>说明</t>
        </is>
      </c>
    </row>
    <row r="5">
      <c r="A5" s="6" t="inlineStr">
        <is>
          <t>Linear 线性趋势模型</t>
        </is>
      </c>
      <c r="B5" s="6" t="inlineStr">
        <is>
          <t>a = 107.1754, b = 2.9404</t>
        </is>
      </c>
      <c r="C5" s="6" t="inlineStr">
        <is>
          <t>y_hat_t = a + b·t；  b = Σ(t−t̄)(y_t−ȳ) / Σ(t−t̄)²；  a = ȳ − b·t̄</t>
        </is>
      </c>
      <c r="D5" s="6" t="inlineStr">
        <is>
          <t>对训练段 n 期做最小二乘拟合得到 a、b，再把期数 t 代入方程外推；预测标准误按回归预测区间公式计算，随外推步长增大</t>
        </is>
      </c>
    </row>
    <row r="6">
      <c r="A6" s="6" t="inlineStr">
        <is>
          <t>（拟合结果）</t>
        </is>
      </c>
      <c r="B6" s="6" t="inlineStr"/>
      <c r="C6" s="6" t="inlineStr">
        <is>
          <t>y_hat_t = 107.1754 + 2.9404·t</t>
        </is>
      </c>
      <c r="D6" s="6" t="inlineStr">
        <is>
          <t>s = 4.4099，n = 19，t̄ = 10.0000，Σ(t−t̄)² = 570.0000</t>
        </is>
      </c>
    </row>
    <row r="7">
      <c r="A7" s="6" t="inlineStr">
        <is>
          <t>3期移动平均</t>
        </is>
      </c>
      <c r="B7" s="6" t="inlineStr">
        <is>
          <t>阶数 = 3</t>
        </is>
      </c>
      <c r="C7" s="6" t="inlineStr">
        <is>
          <t>y_hat_t = (1/k)·Σ(i=1..k) y_(t-i)    其中 k = 3</t>
        </is>
      </c>
      <c r="D7" s="6" t="inlineStr">
        <is>
          <t>把最近 k 期的平均值作为预测值</t>
        </is>
      </c>
    </row>
    <row r="8">
      <c r="A8" s="6" t="inlineStr">
        <is>
          <t>SES 一次指数平滑</t>
        </is>
      </c>
      <c r="B8" s="6" t="inlineStr">
        <is>
          <t>α = 0.3, S0 = 136.5789（前 19 期实际值的平均）</t>
        </is>
      </c>
      <c r="C8" s="6" t="inlineStr">
        <is>
          <t>S_t = α·Y_t + (1−α)·S_(t−1)；  第 t 期预测值 = S_(t−1)</t>
        </is>
      </c>
      <c r="D8" s="6" t="inlineStr">
        <is>
          <t>S0 为初始值（手动指定，或取前若干期实际值的平均值）：从 S0 出发用 Y1, Y2, ... 逐期递推得到 S1, S2, ...；第 t 期的预测值取 S_(t−1)</t>
        </is>
      </c>
    </row>
    <row r="9">
      <c r="A9" s="6" t="inlineStr">
        <is>
          <t>Naive 朴素法</t>
        </is>
      </c>
      <c r="B9" s="6" t="inlineStr">
        <is>
          <t>无待估参数</t>
        </is>
      </c>
      <c r="C9" s="6" t="inlineStr">
        <is>
          <t>y_hat_t = y_(t−1)</t>
        </is>
      </c>
      <c r="D9" s="6" t="inlineStr">
        <is>
          <t>第 t 期的预测值取第 t−1 期的实际值（滚动一步向前）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0" customHeight="1">
      <c r="A1" s="1" t="inlineStr">
        <is>
          <t>训练段：一步向前拟合与误差</t>
        </is>
      </c>
    </row>
    <row r="2" ht="16" customHeight="1">
      <c r="A2" s="2" t="inlineStr">
        <is>
          <t>仅用于观察各模型在建模数据上的贴合程度；空白表示该模型在该时点尚无法给出拟合值</t>
        </is>
      </c>
    </row>
    <row r="4" ht="30" customHeight="1">
      <c r="A4" s="3" t="inlineStr">
        <is>
          <t>时点</t>
        </is>
      </c>
      <c r="B4" s="3" t="inlineStr">
        <is>
          <t>观测值 y_t</t>
        </is>
      </c>
      <c r="C4" s="3" t="inlineStr">
        <is>
          <t>Linear 拟合值</t>
        </is>
      </c>
      <c r="D4" s="3" t="inlineStr">
        <is>
          <t>Linear 误差</t>
        </is>
      </c>
      <c r="E4" s="3" t="inlineStr">
        <is>
          <t>3MA 拟合值</t>
        </is>
      </c>
      <c r="F4" s="3" t="inlineStr">
        <is>
          <t>3MA 误差</t>
        </is>
      </c>
      <c r="G4" s="3" t="inlineStr">
        <is>
          <t>SES 拟合值</t>
        </is>
      </c>
      <c r="H4" s="3" t="inlineStr">
        <is>
          <t>SES 误差</t>
        </is>
      </c>
      <c r="I4" s="3" t="inlineStr">
        <is>
          <t>Naive 拟合值</t>
        </is>
      </c>
      <c r="J4" s="3" t="inlineStr">
        <is>
          <t>Naive 误差</t>
        </is>
      </c>
    </row>
    <row r="5">
      <c r="A5" s="4" t="inlineStr">
        <is>
          <t>T1</t>
        </is>
      </c>
      <c r="B5" s="5" t="n">
        <v>112</v>
      </c>
      <c r="C5" s="5" t="n">
        <v>110.1157894736842</v>
      </c>
      <c r="D5" s="5" t="n">
        <v>1.884210526315798</v>
      </c>
      <c r="E5" s="4" t="n"/>
      <c r="F5" s="4" t="n"/>
      <c r="G5" s="5" t="n">
        <v>136.578947368421</v>
      </c>
      <c r="H5" s="5" t="n">
        <v>-24.57894736842104</v>
      </c>
      <c r="I5" s="4" t="n"/>
      <c r="J5" s="4" t="n"/>
    </row>
    <row r="6">
      <c r="A6" s="4" t="inlineStr">
        <is>
          <t>T2</t>
        </is>
      </c>
      <c r="B6" s="5" t="n">
        <v>118</v>
      </c>
      <c r="C6" s="5" t="n">
        <v>113.0561403508772</v>
      </c>
      <c r="D6" s="5" t="n">
        <v>4.943859649122814</v>
      </c>
      <c r="E6" s="4" t="n"/>
      <c r="F6" s="4" t="n"/>
      <c r="G6" s="5" t="n">
        <v>129.2052631578947</v>
      </c>
      <c r="H6" s="5" t="n">
        <v>-11.20526315789473</v>
      </c>
      <c r="I6" s="5" t="n">
        <v>112</v>
      </c>
      <c r="J6" s="5" t="n">
        <v>6</v>
      </c>
    </row>
    <row r="7">
      <c r="A7" s="4" t="inlineStr">
        <is>
          <t>T3</t>
        </is>
      </c>
      <c r="B7" s="5" t="n">
        <v>109</v>
      </c>
      <c r="C7" s="5" t="n">
        <v>115.9964912280702</v>
      </c>
      <c r="D7" s="5" t="n">
        <v>-6.99649122807017</v>
      </c>
      <c r="E7" s="4" t="n"/>
      <c r="F7" s="4" t="n"/>
      <c r="G7" s="5" t="n">
        <v>125.8436842105263</v>
      </c>
      <c r="H7" s="5" t="n">
        <v>-16.84368421052631</v>
      </c>
      <c r="I7" s="5" t="n">
        <v>118</v>
      </c>
      <c r="J7" s="5" t="n">
        <v>-9</v>
      </c>
    </row>
    <row r="8">
      <c r="A8" s="4" t="inlineStr">
        <is>
          <t>T4</t>
        </is>
      </c>
      <c r="B8" s="5" t="n">
        <v>121</v>
      </c>
      <c r="C8" s="5" t="n">
        <v>118.9368421052632</v>
      </c>
      <c r="D8" s="5" t="n">
        <v>2.063157894736847</v>
      </c>
      <c r="E8" s="5" t="n">
        <v>113</v>
      </c>
      <c r="F8" s="5" t="n">
        <v>8</v>
      </c>
      <c r="G8" s="5" t="n">
        <v>120.7905789473684</v>
      </c>
      <c r="H8" s="5" t="n">
        <v>0.2094210526315976</v>
      </c>
      <c r="I8" s="5" t="n">
        <v>109</v>
      </c>
      <c r="J8" s="5" t="n">
        <v>12</v>
      </c>
    </row>
    <row r="9">
      <c r="A9" s="4" t="inlineStr">
        <is>
          <t>T5</t>
        </is>
      </c>
      <c r="B9" s="5" t="n">
        <v>125</v>
      </c>
      <c r="C9" s="5" t="n">
        <v>121.8771929824561</v>
      </c>
      <c r="D9" s="5" t="n">
        <v>3.122807017543863</v>
      </c>
      <c r="E9" s="5" t="n">
        <v>116</v>
      </c>
      <c r="F9" s="5" t="n">
        <v>9</v>
      </c>
      <c r="G9" s="5" t="n">
        <v>120.8534052631579</v>
      </c>
      <c r="H9" s="5" t="n">
        <v>4.146594736842133</v>
      </c>
      <c r="I9" s="5" t="n">
        <v>121</v>
      </c>
      <c r="J9" s="5" t="n">
        <v>4</v>
      </c>
    </row>
    <row r="10">
      <c r="A10" s="4" t="inlineStr">
        <is>
          <t>T6</t>
        </is>
      </c>
      <c r="B10" s="5" t="n">
        <v>117</v>
      </c>
      <c r="C10" s="5" t="n">
        <v>124.8175438596491</v>
      </c>
      <c r="D10" s="5" t="n">
        <v>-7.817543859649106</v>
      </c>
      <c r="E10" s="5" t="n">
        <v>118.3333333333333</v>
      </c>
      <c r="F10" s="5" t="n">
        <v>-1.333333333333329</v>
      </c>
      <c r="G10" s="5" t="n">
        <v>122.0973836842105</v>
      </c>
      <c r="H10" s="5" t="n">
        <v>-5.097383684210499</v>
      </c>
      <c r="I10" s="5" t="n">
        <v>125</v>
      </c>
      <c r="J10" s="5" t="n">
        <v>-8</v>
      </c>
    </row>
    <row r="11">
      <c r="A11" s="4" t="inlineStr">
        <is>
          <t>T7</t>
        </is>
      </c>
      <c r="B11" s="5" t="n">
        <v>130</v>
      </c>
      <c r="C11" s="5" t="n">
        <v>127.7578947368421</v>
      </c>
      <c r="D11" s="5" t="n">
        <v>2.24210526315791</v>
      </c>
      <c r="E11" s="5" t="n">
        <v>121</v>
      </c>
      <c r="F11" s="5" t="n">
        <v>9</v>
      </c>
      <c r="G11" s="5" t="n">
        <v>120.5681685789473</v>
      </c>
      <c r="H11" s="5" t="n">
        <v>9.431831421052664</v>
      </c>
      <c r="I11" s="5" t="n">
        <v>117</v>
      </c>
      <c r="J11" s="5" t="n">
        <v>13</v>
      </c>
    </row>
    <row r="12">
      <c r="A12" s="4" t="inlineStr">
        <is>
          <t>T8</t>
        </is>
      </c>
      <c r="B12" s="5" t="n">
        <v>128</v>
      </c>
      <c r="C12" s="5" t="n">
        <v>130.6982456140351</v>
      </c>
      <c r="D12" s="5" t="n">
        <v>-2.698245614035073</v>
      </c>
      <c r="E12" s="5" t="n">
        <v>124</v>
      </c>
      <c r="F12" s="5" t="n">
        <v>4</v>
      </c>
      <c r="G12" s="5" t="n">
        <v>123.3977180052631</v>
      </c>
      <c r="H12" s="5" t="n">
        <v>4.60228199473687</v>
      </c>
      <c r="I12" s="5" t="n">
        <v>130</v>
      </c>
      <c r="J12" s="5" t="n">
        <v>-2</v>
      </c>
    </row>
    <row r="13">
      <c r="A13" s="4" t="inlineStr">
        <is>
          <t>T9</t>
        </is>
      </c>
      <c r="B13" s="5" t="n">
        <v>137</v>
      </c>
      <c r="C13" s="5" t="n">
        <v>133.6385964912281</v>
      </c>
      <c r="D13" s="5" t="n">
        <v>3.361403508771929</v>
      </c>
      <c r="E13" s="5" t="n">
        <v>125</v>
      </c>
      <c r="F13" s="5" t="n">
        <v>12</v>
      </c>
      <c r="G13" s="5" t="n">
        <v>124.7784026036842</v>
      </c>
      <c r="H13" s="5" t="n">
        <v>12.22159739631581</v>
      </c>
      <c r="I13" s="5" t="n">
        <v>128</v>
      </c>
      <c r="J13" s="5" t="n">
        <v>9</v>
      </c>
    </row>
    <row r="14">
      <c r="A14" s="4" t="inlineStr">
        <is>
          <t>T10</t>
        </is>
      </c>
      <c r="B14" s="5" t="n">
        <v>134</v>
      </c>
      <c r="C14" s="5" t="n">
        <v>136.578947368421</v>
      </c>
      <c r="D14" s="5" t="n">
        <v>-2.578947368421041</v>
      </c>
      <c r="E14" s="5" t="n">
        <v>131.6666666666667</v>
      </c>
      <c r="F14" s="5" t="n">
        <v>2.333333333333343</v>
      </c>
      <c r="G14" s="5" t="n">
        <v>128.4448818225789</v>
      </c>
      <c r="H14" s="5" t="n">
        <v>5.555118177421065</v>
      </c>
      <c r="I14" s="5" t="n">
        <v>137</v>
      </c>
      <c r="J14" s="5" t="n">
        <v>-3</v>
      </c>
    </row>
    <row r="15">
      <c r="A15" s="4" t="inlineStr">
        <is>
          <t>T11</t>
        </is>
      </c>
      <c r="B15" s="5" t="n">
        <v>141</v>
      </c>
      <c r="C15" s="5" t="n">
        <v>139.519298245614</v>
      </c>
      <c r="D15" s="5" t="n">
        <v>1.480701754385962</v>
      </c>
      <c r="E15" s="5" t="n">
        <v>133</v>
      </c>
      <c r="F15" s="5" t="n">
        <v>8</v>
      </c>
      <c r="G15" s="5" t="n">
        <v>130.1114172758053</v>
      </c>
      <c r="H15" s="5" t="n">
        <v>10.88858272419475</v>
      </c>
      <c r="I15" s="5" t="n">
        <v>134</v>
      </c>
      <c r="J15" s="5" t="n">
        <v>7</v>
      </c>
    </row>
    <row r="16">
      <c r="A16" s="4" t="inlineStr">
        <is>
          <t>T12</t>
        </is>
      </c>
      <c r="B16" s="5" t="n">
        <v>146</v>
      </c>
      <c r="C16" s="5" t="n">
        <v>142.459649122807</v>
      </c>
      <c r="D16" s="5" t="n">
        <v>3.540350877192992</v>
      </c>
      <c r="E16" s="5" t="n">
        <v>137.3333333333333</v>
      </c>
      <c r="F16" s="5" t="n">
        <v>8.666666666666657</v>
      </c>
      <c r="G16" s="5" t="n">
        <v>133.3779920930637</v>
      </c>
      <c r="H16" s="5" t="n">
        <v>12.62200790693635</v>
      </c>
      <c r="I16" s="5" t="n">
        <v>141</v>
      </c>
      <c r="J16" s="5" t="n">
        <v>5</v>
      </c>
    </row>
    <row r="17">
      <c r="A17" s="4" t="inlineStr">
        <is>
          <t>T13</t>
        </is>
      </c>
      <c r="B17" s="5" t="n">
        <v>139</v>
      </c>
      <c r="C17" s="5" t="n">
        <v>145.4</v>
      </c>
      <c r="D17" s="5" t="n">
        <v>-6.399999999999977</v>
      </c>
      <c r="E17" s="5" t="n">
        <v>140.3333333333333</v>
      </c>
      <c r="F17" s="5" t="n">
        <v>-1.333333333333343</v>
      </c>
      <c r="G17" s="5" t="n">
        <v>137.1645944651445</v>
      </c>
      <c r="H17" s="5" t="n">
        <v>1.835405534855454</v>
      </c>
      <c r="I17" s="5" t="n">
        <v>146</v>
      </c>
      <c r="J17" s="5" t="n">
        <v>-7</v>
      </c>
    </row>
    <row r="18">
      <c r="A18" s="4" t="inlineStr">
        <is>
          <t>T14</t>
        </is>
      </c>
      <c r="B18" s="5" t="n">
        <v>152</v>
      </c>
      <c r="C18" s="5" t="n">
        <v>148.340350877193</v>
      </c>
      <c r="D18" s="5" t="n">
        <v>3.659649122807025</v>
      </c>
      <c r="E18" s="5" t="n">
        <v>142</v>
      </c>
      <c r="F18" s="5" t="n">
        <v>10</v>
      </c>
      <c r="G18" s="5" t="n">
        <v>137.7152161256012</v>
      </c>
      <c r="H18" s="5" t="n">
        <v>14.28478387439884</v>
      </c>
      <c r="I18" s="5" t="n">
        <v>139</v>
      </c>
      <c r="J18" s="5" t="n">
        <v>13</v>
      </c>
    </row>
    <row r="19">
      <c r="A19" s="4" t="inlineStr">
        <is>
          <t>T15</t>
        </is>
      </c>
      <c r="B19" s="5" t="n">
        <v>148</v>
      </c>
      <c r="C19" s="5" t="n">
        <v>151.2807017543859</v>
      </c>
      <c r="D19" s="5" t="n">
        <v>-3.280701754385944</v>
      </c>
      <c r="E19" s="5" t="n">
        <v>145.6666666666667</v>
      </c>
      <c r="F19" s="5" t="n">
        <v>2.333333333333343</v>
      </c>
      <c r="G19" s="5" t="n">
        <v>142.0006512879208</v>
      </c>
      <c r="H19" s="5" t="n">
        <v>5.999348712079183</v>
      </c>
      <c r="I19" s="5" t="n">
        <v>152</v>
      </c>
      <c r="J19" s="5" t="n">
        <v>-4</v>
      </c>
    </row>
    <row r="20">
      <c r="A20" s="4" t="inlineStr">
        <is>
          <t>T16</t>
        </is>
      </c>
      <c r="B20" s="5" t="n">
        <v>157</v>
      </c>
      <c r="C20" s="5" t="n">
        <v>154.2210526315789</v>
      </c>
      <c r="D20" s="5" t="n">
        <v>2.778947368421058</v>
      </c>
      <c r="E20" s="5" t="n">
        <v>146.3333333333333</v>
      </c>
      <c r="F20" s="5" t="n">
        <v>10.66666666666666</v>
      </c>
      <c r="G20" s="5" t="n">
        <v>143.8004559015446</v>
      </c>
      <c r="H20" s="5" t="n">
        <v>13.19954409845545</v>
      </c>
      <c r="I20" s="5" t="n">
        <v>148</v>
      </c>
      <c r="J20" s="5" t="n">
        <v>9</v>
      </c>
    </row>
    <row r="21">
      <c r="A21" s="4" t="inlineStr">
        <is>
          <t>T17</t>
        </is>
      </c>
      <c r="B21" s="5" t="n">
        <v>161</v>
      </c>
      <c r="C21" s="5" t="n">
        <v>157.1614035087719</v>
      </c>
      <c r="D21" s="5" t="n">
        <v>3.838596491228088</v>
      </c>
      <c r="E21" s="5" t="n">
        <v>152.3333333333333</v>
      </c>
      <c r="F21" s="5" t="n">
        <v>8.666666666666657</v>
      </c>
      <c r="G21" s="5" t="n">
        <v>147.7603191310812</v>
      </c>
      <c r="H21" s="5" t="n">
        <v>13.23968086891881</v>
      </c>
      <c r="I21" s="5" t="n">
        <v>157</v>
      </c>
      <c r="J21" s="5" t="n">
        <v>4</v>
      </c>
    </row>
    <row r="22">
      <c r="A22" s="4" t="inlineStr">
        <is>
          <t>T18</t>
        </is>
      </c>
      <c r="B22" s="5" t="n">
        <v>154</v>
      </c>
      <c r="C22" s="5" t="n">
        <v>160.1017543859649</v>
      </c>
      <c r="D22" s="5" t="n">
        <v>-6.101754385964909</v>
      </c>
      <c r="E22" s="5" t="n">
        <v>155.3333333333333</v>
      </c>
      <c r="F22" s="5" t="n">
        <v>-1.333333333333343</v>
      </c>
      <c r="G22" s="5" t="n">
        <v>151.7322233917568</v>
      </c>
      <c r="H22" s="5" t="n">
        <v>2.267776608243196</v>
      </c>
      <c r="I22" s="5" t="n">
        <v>161</v>
      </c>
      <c r="J22" s="5" t="n">
        <v>-7</v>
      </c>
    </row>
    <row r="23">
      <c r="A23" s="4" t="inlineStr">
        <is>
          <t>T19</t>
        </is>
      </c>
      <c r="B23" s="5" t="n">
        <v>166</v>
      </c>
      <c r="C23" s="5" t="n">
        <v>163.0421052631579</v>
      </c>
      <c r="D23" s="5" t="n">
        <v>2.957894736842121</v>
      </c>
      <c r="E23" s="5" t="n">
        <v>157.3333333333333</v>
      </c>
      <c r="F23" s="5" t="n">
        <v>8.666666666666657</v>
      </c>
      <c r="G23" s="5" t="n">
        <v>152.4125563742298</v>
      </c>
      <c r="H23" s="5" t="n">
        <v>13.58744362577025</v>
      </c>
      <c r="I23" s="5" t="n">
        <v>154</v>
      </c>
      <c r="J23" s="5" t="n">
        <v>12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0" customHeight="1">
      <c r="A1" s="1" t="inlineStr">
        <is>
          <t>留出段：各模型预测值与实际值对照</t>
        </is>
      </c>
    </row>
    <row r="2" ht="16" customHeight="1">
      <c r="A2" s="2" t="inlineStr">
        <is>
          <t>误差 = 实际值 − 预测值；Naive 的预测值取上一期实际值，本表就是评价依据</t>
        </is>
      </c>
    </row>
    <row r="4" ht="30" customHeight="1">
      <c r="A4" s="3" t="inlineStr">
        <is>
          <t>时点</t>
        </is>
      </c>
      <c r="B4" s="3" t="inlineStr">
        <is>
          <t>实际值</t>
        </is>
      </c>
      <c r="C4" s="3" t="inlineStr">
        <is>
          <t>Linear 预测值</t>
        </is>
      </c>
      <c r="D4" s="3" t="inlineStr">
        <is>
          <t>Linear 误差</t>
        </is>
      </c>
      <c r="E4" s="3" t="inlineStr">
        <is>
          <t>3MA 预测值</t>
        </is>
      </c>
      <c r="F4" s="3" t="inlineStr">
        <is>
          <t>3MA 误差</t>
        </is>
      </c>
      <c r="G4" s="3" t="inlineStr">
        <is>
          <t>SES 预测值</t>
        </is>
      </c>
      <c r="H4" s="3" t="inlineStr">
        <is>
          <t>SES 误差</t>
        </is>
      </c>
      <c r="I4" s="3" t="inlineStr">
        <is>
          <t>Naive 预测值</t>
        </is>
      </c>
      <c r="J4" s="3" t="inlineStr">
        <is>
          <t>Naive 误差</t>
        </is>
      </c>
    </row>
    <row r="5">
      <c r="A5" s="4" t="inlineStr">
        <is>
          <t>T20</t>
        </is>
      </c>
      <c r="B5" s="5" t="n">
        <v>163</v>
      </c>
      <c r="C5" s="5" t="n">
        <v>165.9824561403508</v>
      </c>
      <c r="D5" s="5" t="n">
        <v>-2.982456140350848</v>
      </c>
      <c r="E5" s="5" t="n">
        <v>160.3333333333333</v>
      </c>
      <c r="F5" s="5" t="n">
        <v>2.666666666666657</v>
      </c>
      <c r="G5" s="5" t="n">
        <v>156.4887894619608</v>
      </c>
      <c r="H5" s="5" t="n">
        <v>6.511210538039165</v>
      </c>
      <c r="I5" s="5" t="n">
        <v>166</v>
      </c>
      <c r="J5" s="5" t="n">
        <v>-3</v>
      </c>
    </row>
    <row r="6">
      <c r="A6" s="4" t="inlineStr">
        <is>
          <t>T21</t>
        </is>
      </c>
      <c r="B6" s="5" t="n">
        <v>172</v>
      </c>
      <c r="C6" s="5" t="n">
        <v>168.9228070175438</v>
      </c>
      <c r="D6" s="5" t="n">
        <v>3.077192982456154</v>
      </c>
      <c r="E6" s="5" t="n">
        <v>160.3333333333333</v>
      </c>
      <c r="F6" s="5" t="n">
        <v>11.66666666666666</v>
      </c>
      <c r="G6" s="5" t="n">
        <v>158.4421526233726</v>
      </c>
      <c r="H6" s="5" t="n">
        <v>13.55784737662742</v>
      </c>
      <c r="I6" s="5" t="n">
        <v>163</v>
      </c>
      <c r="J6" s="5" t="n">
        <v>9</v>
      </c>
    </row>
    <row r="7">
      <c r="A7" s="4" t="inlineStr">
        <is>
          <t>T22</t>
        </is>
      </c>
      <c r="B7" s="5" t="n">
        <v>175</v>
      </c>
      <c r="C7" s="5" t="n">
        <v>171.8631578947368</v>
      </c>
      <c r="D7" s="5" t="n">
        <v>3.136842105263156</v>
      </c>
      <c r="E7" s="5" t="n">
        <v>160.3333333333333</v>
      </c>
      <c r="F7" s="5" t="n">
        <v>14.66666666666666</v>
      </c>
      <c r="G7" s="5" t="n">
        <v>162.5095068363608</v>
      </c>
      <c r="H7" s="5" t="n">
        <v>12.4904931636392</v>
      </c>
      <c r="I7" s="5" t="n">
        <v>172</v>
      </c>
      <c r="J7" s="5" t="n">
        <v>3</v>
      </c>
    </row>
    <row r="8">
      <c r="A8" s="4" t="inlineStr">
        <is>
          <t>T23</t>
        </is>
      </c>
      <c r="B8" s="5" t="n">
        <v>169</v>
      </c>
      <c r="C8" s="5" t="n">
        <v>174.8035087719298</v>
      </c>
      <c r="D8" s="5" t="n">
        <v>-5.803508771929813</v>
      </c>
      <c r="E8" s="5" t="n">
        <v>160.3333333333333</v>
      </c>
      <c r="F8" s="5" t="n">
        <v>8.666666666666657</v>
      </c>
      <c r="G8" s="5" t="n">
        <v>166.2566547854526</v>
      </c>
      <c r="H8" s="5" t="n">
        <v>2.743345214547446</v>
      </c>
      <c r="I8" s="5" t="n">
        <v>175</v>
      </c>
      <c r="J8" s="5" t="n">
        <v>-6</v>
      </c>
    </row>
    <row r="9">
      <c r="A9" s="4" t="inlineStr">
        <is>
          <t>T24</t>
        </is>
      </c>
      <c r="B9" s="5" t="n">
        <v>181</v>
      </c>
      <c r="C9" s="5" t="n">
        <v>177.7438596491228</v>
      </c>
      <c r="D9" s="5" t="n">
        <v>3.256140350877217</v>
      </c>
      <c r="E9" s="5" t="n">
        <v>160.3333333333333</v>
      </c>
      <c r="F9" s="5" t="n">
        <v>20.66666666666666</v>
      </c>
      <c r="G9" s="5" t="n">
        <v>167.0796583498168</v>
      </c>
      <c r="H9" s="5" t="n">
        <v>13.92034165018322</v>
      </c>
      <c r="I9" s="5" t="n">
        <v>169</v>
      </c>
      <c r="J9" s="5" t="n">
        <v>12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0" customHeight="1">
      <c r="A1" s="1" t="inlineStr">
        <is>
          <t>留出段预测标准误与 95% 预测区间</t>
        </is>
      </c>
    </row>
    <row r="2" ht="16" customHeight="1">
      <c r="A2" s="2" t="inlineStr">
        <is>
          <t>SE(h) 为第 h 期预测标准误；预测区间 = 预测值 ± z·SE(h)，z = 1.9600</t>
        </is>
      </c>
    </row>
    <row r="4" ht="30" customHeight="1">
      <c r="A4" s="3" t="inlineStr">
        <is>
          <t>时点</t>
        </is>
      </c>
      <c r="B4" s="3" t="inlineStr">
        <is>
          <t>Linear SE(h)</t>
        </is>
      </c>
      <c r="C4" s="3" t="inlineStr">
        <is>
          <t>Linear 下限</t>
        </is>
      </c>
      <c r="D4" s="3" t="inlineStr">
        <is>
          <t>Linear 上限</t>
        </is>
      </c>
      <c r="E4" s="3" t="inlineStr">
        <is>
          <t>3MA SE(h)</t>
        </is>
      </c>
      <c r="F4" s="3" t="inlineStr">
        <is>
          <t>3MA 下限</t>
        </is>
      </c>
      <c r="G4" s="3" t="inlineStr">
        <is>
          <t>3MA 上限</t>
        </is>
      </c>
      <c r="H4" s="3" t="inlineStr">
        <is>
          <t>SES SE(h)</t>
        </is>
      </c>
      <c r="I4" s="3" t="inlineStr">
        <is>
          <t>SES 下限</t>
        </is>
      </c>
      <c r="J4" s="3" t="inlineStr">
        <is>
          <t>SES 上限</t>
        </is>
      </c>
      <c r="K4" s="3" t="inlineStr">
        <is>
          <t>Naive SE(h)</t>
        </is>
      </c>
      <c r="L4" s="3" t="inlineStr">
        <is>
          <t>Naive 下限</t>
        </is>
      </c>
      <c r="M4" s="3" t="inlineStr">
        <is>
          <t>Naive 上限</t>
        </is>
      </c>
    </row>
    <row r="5">
      <c r="A5" s="4" t="inlineStr">
        <is>
          <t>T20</t>
        </is>
      </c>
      <c r="B5" s="5" t="n">
        <v>4.88698336531166</v>
      </c>
      <c r="C5" s="5" t="n">
        <v>156.4041447512936</v>
      </c>
      <c r="D5" s="5" t="n">
        <v>175.5607675294081</v>
      </c>
      <c r="E5" s="5" t="n">
        <v>13.11911243610294</v>
      </c>
      <c r="F5" s="5" t="n">
        <v>134.62034544944</v>
      </c>
      <c r="G5" s="5" t="n">
        <v>186.0463212172266</v>
      </c>
      <c r="H5" s="5" t="n">
        <v>12.07813481309841</v>
      </c>
      <c r="I5" s="5" t="n">
        <v>132.8160802278686</v>
      </c>
      <c r="J5" s="5" t="n">
        <v>180.1614986960531</v>
      </c>
      <c r="K5" s="5" t="n">
        <v>7.469939758793239</v>
      </c>
      <c r="L5" s="5" t="n">
        <v>151.3591871060814</v>
      </c>
      <c r="M5" s="5" t="n">
        <v>180.6408128939186</v>
      </c>
    </row>
    <row r="6">
      <c r="A6" s="4" t="inlineStr">
        <is>
          <t>T21</t>
        </is>
      </c>
      <c r="B6" s="5" t="n">
        <v>4.95974642549575</v>
      </c>
      <c r="C6" s="5" t="n">
        <v>159.2018826511209</v>
      </c>
      <c r="D6" s="5" t="n">
        <v>178.6437313839668</v>
      </c>
      <c r="E6" s="5" t="n">
        <v>13.11911243610294</v>
      </c>
      <c r="F6" s="5" t="n">
        <v>134.62034544944</v>
      </c>
      <c r="G6" s="5" t="n">
        <v>186.0463212172266</v>
      </c>
      <c r="H6" s="5" t="n">
        <v>12.07813481309841</v>
      </c>
      <c r="I6" s="5" t="n">
        <v>134.7694433892803</v>
      </c>
      <c r="J6" s="5" t="n">
        <v>182.1148618574649</v>
      </c>
      <c r="K6" s="5" t="n">
        <v>7.469939758793239</v>
      </c>
      <c r="L6" s="5" t="n">
        <v>148.3591871060814</v>
      </c>
      <c r="M6" s="5" t="n">
        <v>177.6408128939186</v>
      </c>
    </row>
    <row r="7">
      <c r="A7" s="4" t="inlineStr">
        <is>
          <t>T22</t>
        </is>
      </c>
      <c r="B7" s="5" t="n">
        <v>5.038233700010872</v>
      </c>
      <c r="C7" s="5" t="n">
        <v>161.9884012970195</v>
      </c>
      <c r="D7" s="5" t="n">
        <v>181.7379144924541</v>
      </c>
      <c r="E7" s="5" t="n">
        <v>13.11911243610294</v>
      </c>
      <c r="F7" s="5" t="n">
        <v>134.62034544944</v>
      </c>
      <c r="G7" s="5" t="n">
        <v>186.0463212172266</v>
      </c>
      <c r="H7" s="5" t="n">
        <v>12.07813481309841</v>
      </c>
      <c r="I7" s="5" t="n">
        <v>138.8367976022685</v>
      </c>
      <c r="J7" s="5" t="n">
        <v>186.1822160704531</v>
      </c>
      <c r="K7" s="5" t="n">
        <v>7.469939758793239</v>
      </c>
      <c r="L7" s="5" t="n">
        <v>157.3591871060814</v>
      </c>
      <c r="M7" s="5" t="n">
        <v>186.6408128939186</v>
      </c>
    </row>
    <row r="8">
      <c r="A8" s="4" t="inlineStr">
        <is>
          <t>T23</t>
        </is>
      </c>
      <c r="B8" s="5" t="n">
        <v>5.12218205894275</v>
      </c>
      <c r="C8" s="5" t="n">
        <v>164.7642164141448</v>
      </c>
      <c r="D8" s="5" t="n">
        <v>184.8428011297148</v>
      </c>
      <c r="E8" s="5" t="n">
        <v>13.11911243610294</v>
      </c>
      <c r="F8" s="5" t="n">
        <v>134.62034544944</v>
      </c>
      <c r="G8" s="5" t="n">
        <v>186.0463212172266</v>
      </c>
      <c r="H8" s="5" t="n">
        <v>12.07813481309841</v>
      </c>
      <c r="I8" s="5" t="n">
        <v>142.5839455513603</v>
      </c>
      <c r="J8" s="5" t="n">
        <v>189.9293640195448</v>
      </c>
      <c r="K8" s="5" t="n">
        <v>7.469939758793239</v>
      </c>
      <c r="L8" s="5" t="n">
        <v>160.3591871060814</v>
      </c>
      <c r="M8" s="5" t="n">
        <v>189.6408128939186</v>
      </c>
    </row>
    <row r="9">
      <c r="A9" s="4" t="inlineStr">
        <is>
          <t>T24</t>
        </is>
      </c>
      <c r="B9" s="5" t="n">
        <v>5.211327594030824</v>
      </c>
      <c r="C9" s="5" t="n">
        <v>167.5298452531826</v>
      </c>
      <c r="D9" s="5" t="n">
        <v>187.957874045063</v>
      </c>
      <c r="E9" s="5" t="n">
        <v>13.11911243610294</v>
      </c>
      <c r="F9" s="5" t="n">
        <v>134.62034544944</v>
      </c>
      <c r="G9" s="5" t="n">
        <v>186.0463212172266</v>
      </c>
      <c r="H9" s="5" t="n">
        <v>12.07813481309841</v>
      </c>
      <c r="I9" s="5" t="n">
        <v>143.4069491157245</v>
      </c>
      <c r="J9" s="5" t="n">
        <v>190.7523675839091</v>
      </c>
      <c r="K9" s="5" t="n">
        <v>7.469939758793239</v>
      </c>
      <c r="L9" s="5" t="n">
        <v>154.3591871060814</v>
      </c>
      <c r="M9" s="5" t="n">
        <v>183.6408128939186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1" customWidth="1" min="6" max="6"/>
    <col width="10" customWidth="1" min="7" max="7"/>
    <col width="14" customWidth="1" min="8" max="8"/>
    <col width="11" customWidth="1" min="9" max="9"/>
    <col width="11" customWidth="1" min="10" max="10"/>
  </cols>
  <sheetData>
    <row r="1" ht="20" customHeight="1">
      <c r="A1" s="1" t="inlineStr">
        <is>
          <t>模型对比（留出段）</t>
        </is>
      </c>
    </row>
    <row r="2" ht="16" customHeight="1">
      <c r="A2" s="2" t="inlineStr">
        <is>
          <t>训练段 = 第 1 ~ 19 期；留出段 = 第 20 ~ 24 期（H = 5）；所有指标都在留出段上计算。</t>
        </is>
      </c>
    </row>
    <row r="4" ht="30" customHeight="1">
      <c r="A4" s="3" t="inlineStr">
        <is>
          <t>模型</t>
        </is>
      </c>
      <c r="B4" s="3" t="inlineStr">
        <is>
          <t>参数</t>
        </is>
      </c>
      <c r="C4" s="3" t="inlineStr">
        <is>
          <t>留出期数 H</t>
        </is>
      </c>
      <c r="D4" s="3" t="inlineStr">
        <is>
          <t>SSE</t>
        </is>
      </c>
      <c r="E4" s="3" t="inlineStr">
        <is>
          <t>MSE</t>
        </is>
      </c>
      <c r="F4" s="3" t="inlineStr">
        <is>
          <t>RMSE</t>
        </is>
      </c>
      <c r="G4" s="3" t="inlineStr">
        <is>
          <t>自由度 df</t>
        </is>
      </c>
      <c r="H4" s="3" t="inlineStr">
        <is>
          <t>残差标准误 SE</t>
        </is>
      </c>
      <c r="I4" s="3" t="inlineStr">
        <is>
          <t>Theil U1</t>
        </is>
      </c>
      <c r="J4" s="3" t="inlineStr">
        <is>
          <t>Theil U2</t>
        </is>
      </c>
    </row>
    <row r="5">
      <c r="A5" s="7" t="inlineStr">
        <is>
          <t>Linear 线性趋势模型</t>
        </is>
      </c>
      <c r="B5" s="7" t="inlineStr">
        <is>
          <t>a = 107.1754, b = 2.9404</t>
        </is>
      </c>
      <c r="C5" s="4" t="n">
        <v>5</v>
      </c>
      <c r="D5" s="8" t="n">
        <v>72.48710372422278</v>
      </c>
      <c r="E5" s="8" t="n">
        <v>14.49742074484456</v>
      </c>
      <c r="F5" s="8" t="n">
        <v>3.807547865075967</v>
      </c>
      <c r="G5" s="4" t="n">
        <v>3</v>
      </c>
      <c r="H5" s="8" t="n">
        <v>4.915523157108942</v>
      </c>
      <c r="I5" s="8" t="n">
        <v>0.01106787153784068</v>
      </c>
      <c r="J5" s="8" t="n">
        <v>0.5097160068250768</v>
      </c>
    </row>
    <row r="6">
      <c r="A6" s="7" t="inlineStr">
        <is>
          <t>3期移动平均</t>
        </is>
      </c>
      <c r="B6" s="7" t="inlineStr">
        <is>
          <t>阶数 = 3</t>
        </is>
      </c>
      <c r="C6" s="4" t="n">
        <v>5</v>
      </c>
      <c r="D6" s="5" t="n">
        <v>860.5555555555545</v>
      </c>
      <c r="E6" s="5" t="n">
        <v>172.1111111111109</v>
      </c>
      <c r="F6" s="5" t="n">
        <v>13.11911243610294</v>
      </c>
      <c r="G6" s="4" t="n">
        <v>5</v>
      </c>
      <c r="H6" s="5" t="n">
        <v>13.11911243610294</v>
      </c>
      <c r="I6" s="5" t="n">
        <v>0.03946334144580679</v>
      </c>
      <c r="J6" s="5" t="n">
        <v>1.756254114453839</v>
      </c>
    </row>
    <row r="7">
      <c r="A7" s="7" t="inlineStr">
        <is>
          <t>SES 一次指数平滑</t>
        </is>
      </c>
      <c r="B7" s="7" t="inlineStr">
        <is>
          <t>α = 0.3, S0 = 136.5789（前 19 期实际值的平均）</t>
        </is>
      </c>
      <c r="C7" s="4" t="n">
        <v>5</v>
      </c>
      <c r="D7" s="5" t="n">
        <v>583.525362253519</v>
      </c>
      <c r="E7" s="5" t="n">
        <v>116.7050724507038</v>
      </c>
      <c r="F7" s="5" t="n">
        <v>10.8030121933979</v>
      </c>
      <c r="G7" s="4" t="n">
        <v>4</v>
      </c>
      <c r="H7" s="5" t="n">
        <v>12.07813481309841</v>
      </c>
      <c r="I7" s="5" t="n">
        <v>0.0323140005608356</v>
      </c>
      <c r="J7" s="5" t="n">
        <v>1.446198034017763</v>
      </c>
    </row>
    <row r="8">
      <c r="A8" s="7" t="inlineStr">
        <is>
          <t>Naive 朴素法</t>
        </is>
      </c>
      <c r="B8" s="7" t="inlineStr">
        <is>
          <t>无待估参数</t>
        </is>
      </c>
      <c r="C8" s="4" t="n">
        <v>5</v>
      </c>
      <c r="D8" s="5" t="n">
        <v>279</v>
      </c>
      <c r="E8" s="5" t="n">
        <v>55.8</v>
      </c>
      <c r="F8" s="5" t="n">
        <v>7.469939758793239</v>
      </c>
      <c r="G8" s="4" t="n">
        <v>5</v>
      </c>
      <c r="H8" s="5" t="n">
        <v>7.469939758793239</v>
      </c>
      <c r="I8" s="5" t="n">
        <v>0.02189584505149815</v>
      </c>
      <c r="J8" s="5" t="n">
        <v>1</v>
      </c>
    </row>
    <row r="10">
      <c r="A10" s="9" t="inlineStr">
        <is>
          <t>判读说明：</t>
        </is>
      </c>
    </row>
    <row r="11">
      <c r="A11" s="10" t="inlineStr">
        <is>
          <t xml:space="preserve">  · 指标全部按留出段的「实际值 − 预测值」计算，反映样本外预测能力。</t>
        </is>
      </c>
    </row>
    <row r="12">
      <c r="A12" s="10" t="inlineStr">
        <is>
          <t xml:space="preserve">  · SSE / MSE / RMSE / SE 越小越好；残差标准误 SE = √(SSE/(H−k))，k 为待估参数个数（SES 计 1 个，其余为 0）。</t>
        </is>
      </c>
    </row>
    <row r="13">
      <c r="A13" s="10" t="inlineStr">
        <is>
          <t xml:space="preserve">  · Theil U1 ∈ [0,1]，越接近 0 越好，可跨模型直接比较。</t>
        </is>
      </c>
    </row>
    <row r="14">
      <c r="A14" s="10" t="inlineStr">
        <is>
          <t xml:space="preserve">  · Theil U2 以「每期都用上一期实际值」的朴素预测为基准：本表中 Naive 即为该基准，其 U2 = 1；其余模型 U2 &lt; 1 才算优于朴素法。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4" customWidth="1" min="4" max="4"/>
    <col width="16" customWidth="1" min="5" max="5"/>
  </cols>
  <sheetData>
    <row r="1" ht="20" customHeight="1">
      <c r="A1" s="1" t="inlineStr">
        <is>
          <t>SES 递推全过程：S0 ~ S24</t>
        </is>
      </c>
    </row>
    <row r="2" ht="16" customHeight="1">
      <c r="A2" s="2" t="inlineStr">
        <is>
          <t>S_t = α·Y_t + (1−α)·S_(t−1)；第 t 期的预测值取 S_(t−1)</t>
        </is>
      </c>
    </row>
    <row r="4" ht="30" customHeight="1">
      <c r="A4" s="3" t="inlineStr">
        <is>
          <t>平滑值</t>
        </is>
      </c>
      <c r="B4" s="3" t="inlineStr">
        <is>
          <t>计算依据</t>
        </is>
      </c>
      <c r="C4" s="3" t="inlineStr">
        <is>
          <t>该期实际值</t>
        </is>
      </c>
      <c r="D4" s="3" t="inlineStr">
        <is>
          <t>数值</t>
        </is>
      </c>
      <c r="E4" s="3" t="inlineStr">
        <is>
          <t>用作</t>
        </is>
      </c>
    </row>
    <row r="5">
      <c r="A5" s="4" t="inlineStr">
        <is>
          <t>S0</t>
        </is>
      </c>
      <c r="B5" s="4" t="inlineStr">
        <is>
          <t>初始值</t>
        </is>
      </c>
      <c r="C5" s="4" t="inlineStr">
        <is>
          <t>—</t>
        </is>
      </c>
      <c r="D5" s="5" t="n">
        <v>136.578947368421</v>
      </c>
      <c r="E5" s="4" t="inlineStr">
        <is>
          <t>第 1 期预测值</t>
        </is>
      </c>
    </row>
    <row r="6">
      <c r="A6" s="4" t="inlineStr">
        <is>
          <t>S1</t>
        </is>
      </c>
      <c r="B6" s="4" t="inlineStr">
        <is>
          <t>α·Y1 + (1−α)·S0</t>
        </is>
      </c>
      <c r="C6" s="5" t="n">
        <v>112</v>
      </c>
      <c r="D6" s="5" t="n">
        <v>129.2052631578947</v>
      </c>
      <c r="E6" s="4" t="inlineStr">
        <is>
          <t>第 2 期预测值</t>
        </is>
      </c>
    </row>
    <row r="7">
      <c r="A7" s="4" t="inlineStr">
        <is>
          <t>S2</t>
        </is>
      </c>
      <c r="B7" s="4" t="inlineStr">
        <is>
          <t>α·Y2 + (1−α)·S1</t>
        </is>
      </c>
      <c r="C7" s="5" t="n">
        <v>118</v>
      </c>
      <c r="D7" s="5" t="n">
        <v>125.8436842105263</v>
      </c>
      <c r="E7" s="4" t="inlineStr">
        <is>
          <t>第 3 期预测值</t>
        </is>
      </c>
    </row>
    <row r="8">
      <c r="A8" s="4" t="inlineStr">
        <is>
          <t>S3</t>
        </is>
      </c>
      <c r="B8" s="4" t="inlineStr">
        <is>
          <t>α·Y3 + (1−α)·S2</t>
        </is>
      </c>
      <c r="C8" s="5" t="n">
        <v>109</v>
      </c>
      <c r="D8" s="5" t="n">
        <v>120.7905789473684</v>
      </c>
      <c r="E8" s="4" t="inlineStr">
        <is>
          <t>第 4 期预测值</t>
        </is>
      </c>
    </row>
    <row r="9">
      <c r="A9" s="4" t="inlineStr">
        <is>
          <t>S4</t>
        </is>
      </c>
      <c r="B9" s="4" t="inlineStr">
        <is>
          <t>α·Y4 + (1−α)·S3</t>
        </is>
      </c>
      <c r="C9" s="5" t="n">
        <v>121</v>
      </c>
      <c r="D9" s="5" t="n">
        <v>120.8534052631579</v>
      </c>
      <c r="E9" s="4" t="inlineStr">
        <is>
          <t>第 5 期预测值</t>
        </is>
      </c>
    </row>
    <row r="10">
      <c r="A10" s="4" t="inlineStr">
        <is>
          <t>S5</t>
        </is>
      </c>
      <c r="B10" s="4" t="inlineStr">
        <is>
          <t>α·Y5 + (1−α)·S4</t>
        </is>
      </c>
      <c r="C10" s="5" t="n">
        <v>125</v>
      </c>
      <c r="D10" s="5" t="n">
        <v>122.0973836842105</v>
      </c>
      <c r="E10" s="4" t="inlineStr">
        <is>
          <t>第 6 期预测值</t>
        </is>
      </c>
    </row>
    <row r="11">
      <c r="A11" s="4" t="inlineStr">
        <is>
          <t>S6</t>
        </is>
      </c>
      <c r="B11" s="4" t="inlineStr">
        <is>
          <t>α·Y6 + (1−α)·S5</t>
        </is>
      </c>
      <c r="C11" s="5" t="n">
        <v>117</v>
      </c>
      <c r="D11" s="5" t="n">
        <v>120.5681685789473</v>
      </c>
      <c r="E11" s="4" t="inlineStr">
        <is>
          <t>第 7 期预测值</t>
        </is>
      </c>
    </row>
    <row r="12">
      <c r="A12" s="4" t="inlineStr">
        <is>
          <t>S7</t>
        </is>
      </c>
      <c r="B12" s="4" t="inlineStr">
        <is>
          <t>α·Y7 + (1−α)·S6</t>
        </is>
      </c>
      <c r="C12" s="5" t="n">
        <v>130</v>
      </c>
      <c r="D12" s="5" t="n">
        <v>123.3977180052631</v>
      </c>
      <c r="E12" s="4" t="inlineStr">
        <is>
          <t>第 8 期预测值</t>
        </is>
      </c>
    </row>
    <row r="13">
      <c r="A13" s="4" t="inlineStr">
        <is>
          <t>S8</t>
        </is>
      </c>
      <c r="B13" s="4" t="inlineStr">
        <is>
          <t>α·Y8 + (1−α)·S7</t>
        </is>
      </c>
      <c r="C13" s="5" t="n">
        <v>128</v>
      </c>
      <c r="D13" s="5" t="n">
        <v>124.7784026036842</v>
      </c>
      <c r="E13" s="4" t="inlineStr">
        <is>
          <t>第 9 期预测值</t>
        </is>
      </c>
    </row>
    <row r="14">
      <c r="A14" s="4" t="inlineStr">
        <is>
          <t>S9</t>
        </is>
      </c>
      <c r="B14" s="4" t="inlineStr">
        <is>
          <t>α·Y9 + (1−α)·S8</t>
        </is>
      </c>
      <c r="C14" s="5" t="n">
        <v>137</v>
      </c>
      <c r="D14" s="5" t="n">
        <v>128.4448818225789</v>
      </c>
      <c r="E14" s="4" t="inlineStr">
        <is>
          <t>第 10 期预测值</t>
        </is>
      </c>
    </row>
    <row r="15">
      <c r="A15" s="4" t="inlineStr">
        <is>
          <t>S10</t>
        </is>
      </c>
      <c r="B15" s="4" t="inlineStr">
        <is>
          <t>α·Y10 + (1−α)·S9</t>
        </is>
      </c>
      <c r="C15" s="5" t="n">
        <v>134</v>
      </c>
      <c r="D15" s="5" t="n">
        <v>130.1114172758053</v>
      </c>
      <c r="E15" s="4" t="inlineStr">
        <is>
          <t>第 11 期预测值</t>
        </is>
      </c>
    </row>
    <row r="16">
      <c r="A16" s="4" t="inlineStr">
        <is>
          <t>S11</t>
        </is>
      </c>
      <c r="B16" s="4" t="inlineStr">
        <is>
          <t>α·Y11 + (1−α)·S10</t>
        </is>
      </c>
      <c r="C16" s="5" t="n">
        <v>141</v>
      </c>
      <c r="D16" s="5" t="n">
        <v>133.3779920930637</v>
      </c>
      <c r="E16" s="4" t="inlineStr">
        <is>
          <t>第 12 期预测值</t>
        </is>
      </c>
    </row>
    <row r="17">
      <c r="A17" s="4" t="inlineStr">
        <is>
          <t>S12</t>
        </is>
      </c>
      <c r="B17" s="4" t="inlineStr">
        <is>
          <t>α·Y12 + (1−α)·S11</t>
        </is>
      </c>
      <c r="C17" s="5" t="n">
        <v>146</v>
      </c>
      <c r="D17" s="5" t="n">
        <v>137.1645944651445</v>
      </c>
      <c r="E17" s="4" t="inlineStr">
        <is>
          <t>第 13 期预测值</t>
        </is>
      </c>
    </row>
    <row r="18">
      <c r="A18" s="4" t="inlineStr">
        <is>
          <t>S13</t>
        </is>
      </c>
      <c r="B18" s="4" t="inlineStr">
        <is>
          <t>α·Y13 + (1−α)·S12</t>
        </is>
      </c>
      <c r="C18" s="5" t="n">
        <v>139</v>
      </c>
      <c r="D18" s="5" t="n">
        <v>137.7152161256012</v>
      </c>
      <c r="E18" s="4" t="inlineStr">
        <is>
          <t>第 14 期预测值</t>
        </is>
      </c>
    </row>
    <row r="19">
      <c r="A19" s="4" t="inlineStr">
        <is>
          <t>S14</t>
        </is>
      </c>
      <c r="B19" s="4" t="inlineStr">
        <is>
          <t>α·Y14 + (1−α)·S13</t>
        </is>
      </c>
      <c r="C19" s="5" t="n">
        <v>152</v>
      </c>
      <c r="D19" s="5" t="n">
        <v>142.0006512879208</v>
      </c>
      <c r="E19" s="4" t="inlineStr">
        <is>
          <t>第 15 期预测值</t>
        </is>
      </c>
    </row>
    <row r="20">
      <c r="A20" s="4" t="inlineStr">
        <is>
          <t>S15</t>
        </is>
      </c>
      <c r="B20" s="4" t="inlineStr">
        <is>
          <t>α·Y15 + (1−α)·S14</t>
        </is>
      </c>
      <c r="C20" s="5" t="n">
        <v>148</v>
      </c>
      <c r="D20" s="5" t="n">
        <v>143.8004559015446</v>
      </c>
      <c r="E20" s="4" t="inlineStr">
        <is>
          <t>第 16 期预测值</t>
        </is>
      </c>
    </row>
    <row r="21">
      <c r="A21" s="4" t="inlineStr">
        <is>
          <t>S16</t>
        </is>
      </c>
      <c r="B21" s="4" t="inlineStr">
        <is>
          <t>α·Y16 + (1−α)·S15</t>
        </is>
      </c>
      <c r="C21" s="5" t="n">
        <v>157</v>
      </c>
      <c r="D21" s="5" t="n">
        <v>147.7603191310812</v>
      </c>
      <c r="E21" s="4" t="inlineStr">
        <is>
          <t>第 17 期预测值</t>
        </is>
      </c>
    </row>
    <row r="22">
      <c r="A22" s="4" t="inlineStr">
        <is>
          <t>S17</t>
        </is>
      </c>
      <c r="B22" s="4" t="inlineStr">
        <is>
          <t>α·Y17 + (1−α)·S16</t>
        </is>
      </c>
      <c r="C22" s="5" t="n">
        <v>161</v>
      </c>
      <c r="D22" s="5" t="n">
        <v>151.7322233917568</v>
      </c>
      <c r="E22" s="4" t="inlineStr">
        <is>
          <t>第 18 期预测值</t>
        </is>
      </c>
    </row>
    <row r="23">
      <c r="A23" s="4" t="inlineStr">
        <is>
          <t>S18</t>
        </is>
      </c>
      <c r="B23" s="4" t="inlineStr">
        <is>
          <t>α·Y18 + (1−α)·S17</t>
        </is>
      </c>
      <c r="C23" s="5" t="n">
        <v>154</v>
      </c>
      <c r="D23" s="5" t="n">
        <v>152.4125563742298</v>
      </c>
      <c r="E23" s="4" t="inlineStr">
        <is>
          <t>第 19 期预测值</t>
        </is>
      </c>
    </row>
    <row r="24">
      <c r="A24" s="4" t="inlineStr">
        <is>
          <t>S19</t>
        </is>
      </c>
      <c r="B24" s="4" t="inlineStr">
        <is>
          <t>α·Y19 + (1−α)·S18</t>
        </is>
      </c>
      <c r="C24" s="5" t="n">
        <v>166</v>
      </c>
      <c r="D24" s="5" t="n">
        <v>156.4887894619608</v>
      </c>
      <c r="E24" s="4" t="inlineStr">
        <is>
          <t>第 20 期预测值</t>
        </is>
      </c>
    </row>
    <row r="25">
      <c r="A25" s="4" t="inlineStr">
        <is>
          <t>S20</t>
        </is>
      </c>
      <c r="B25" s="4" t="inlineStr">
        <is>
          <t>α·Y20 + (1−α)·S19</t>
        </is>
      </c>
      <c r="C25" s="5" t="n">
        <v>163</v>
      </c>
      <c r="D25" s="5" t="n">
        <v>158.4421526233726</v>
      </c>
      <c r="E25" s="4" t="inlineStr">
        <is>
          <t>第 21 期预测值</t>
        </is>
      </c>
    </row>
    <row r="26">
      <c r="A26" s="4" t="inlineStr">
        <is>
          <t>S21</t>
        </is>
      </c>
      <c r="B26" s="4" t="inlineStr">
        <is>
          <t>α·Y21 + (1−α)·S20</t>
        </is>
      </c>
      <c r="C26" s="5" t="n">
        <v>172</v>
      </c>
      <c r="D26" s="5" t="n">
        <v>162.5095068363608</v>
      </c>
      <c r="E26" s="4" t="inlineStr">
        <is>
          <t>第 22 期预测值</t>
        </is>
      </c>
    </row>
    <row r="27">
      <c r="A27" s="4" t="inlineStr">
        <is>
          <t>S22</t>
        </is>
      </c>
      <c r="B27" s="4" t="inlineStr">
        <is>
          <t>α·Y22 + (1−α)·S21</t>
        </is>
      </c>
      <c r="C27" s="5" t="n">
        <v>175</v>
      </c>
      <c r="D27" s="5" t="n">
        <v>166.2566547854526</v>
      </c>
      <c r="E27" s="4" t="inlineStr">
        <is>
          <t>第 23 期预测值</t>
        </is>
      </c>
    </row>
    <row r="28">
      <c r="A28" s="4" t="inlineStr">
        <is>
          <t>S23</t>
        </is>
      </c>
      <c r="B28" s="4" t="inlineStr">
        <is>
          <t>α·Y23 + (1−α)·S22</t>
        </is>
      </c>
      <c r="C28" s="5" t="n">
        <v>169</v>
      </c>
      <c r="D28" s="5" t="n">
        <v>167.0796583498168</v>
      </c>
      <c r="E28" s="4" t="inlineStr">
        <is>
          <t>第 24 期预测值</t>
        </is>
      </c>
    </row>
    <row r="29">
      <c r="A29" s="4" t="inlineStr">
        <is>
          <t>S24</t>
        </is>
      </c>
      <c r="B29" s="4" t="inlineStr">
        <is>
          <t>α·Y24 + (1−α)·S23</t>
        </is>
      </c>
      <c r="C29" s="5" t="n">
        <v>181</v>
      </c>
      <c r="D29" s="5" t="n">
        <v>171.2557608448717</v>
      </c>
      <c r="E29" s="4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观测值与留出段预测</t>
        </is>
      </c>
    </row>
    <row r="3" ht="30" customHeight="1">
      <c r="A3" s="3" t="inlineStr">
        <is>
          <t>时点</t>
        </is>
      </c>
      <c r="B3" s="3" t="inlineStr">
        <is>
          <t>观测值</t>
        </is>
      </c>
      <c r="C3" s="3" t="inlineStr">
        <is>
          <t>Linear 预测</t>
        </is>
      </c>
      <c r="D3" s="3" t="inlineStr">
        <is>
          <t>3MA 预测</t>
        </is>
      </c>
      <c r="E3" s="3" t="inlineStr">
        <is>
          <t>SES 预测</t>
        </is>
      </c>
      <c r="F3" s="3" t="inlineStr">
        <is>
          <t>Naive 预测</t>
        </is>
      </c>
    </row>
    <row r="4">
      <c r="A4" s="4" t="inlineStr">
        <is>
          <t>T17</t>
        </is>
      </c>
      <c r="B4" s="5" t="n">
        <v>161</v>
      </c>
      <c r="C4" s="4" t="n"/>
      <c r="D4" s="4" t="n"/>
      <c r="E4" s="4" t="n"/>
      <c r="F4" s="4" t="n"/>
    </row>
    <row r="5">
      <c r="A5" s="4" t="inlineStr">
        <is>
          <t>T18</t>
        </is>
      </c>
      <c r="B5" s="5" t="n">
        <v>154</v>
      </c>
      <c r="C5" s="4" t="n"/>
      <c r="D5" s="4" t="n"/>
      <c r="E5" s="4" t="n"/>
      <c r="F5" s="4" t="n"/>
    </row>
    <row r="6">
      <c r="A6" s="4" t="inlineStr">
        <is>
          <t>T19</t>
        </is>
      </c>
      <c r="B6" s="5" t="n">
        <v>166</v>
      </c>
      <c r="C6" s="5" t="n">
        <v>166</v>
      </c>
      <c r="D6" s="5" t="n">
        <v>166</v>
      </c>
      <c r="E6" s="5" t="n">
        <v>166</v>
      </c>
      <c r="F6" s="5" t="n">
        <v>166</v>
      </c>
    </row>
    <row r="7">
      <c r="A7" s="4" t="inlineStr">
        <is>
          <t>T20</t>
        </is>
      </c>
      <c r="B7" s="5" t="n">
        <v>163</v>
      </c>
      <c r="C7" s="4" t="n"/>
      <c r="D7" s="4" t="n"/>
      <c r="E7" s="4" t="n"/>
      <c r="F7" s="4" t="n"/>
    </row>
    <row r="8">
      <c r="A8" s="4" t="inlineStr">
        <is>
          <t>T21</t>
        </is>
      </c>
      <c r="B8" s="5" t="n">
        <v>172</v>
      </c>
      <c r="C8" s="4" t="n"/>
      <c r="D8" s="4" t="n"/>
      <c r="E8" s="4" t="n"/>
      <c r="F8" s="4" t="n"/>
    </row>
    <row r="9">
      <c r="A9" s="4" t="inlineStr">
        <is>
          <t>T22</t>
        </is>
      </c>
      <c r="B9" s="5" t="n">
        <v>175</v>
      </c>
      <c r="C9" s="4" t="n"/>
      <c r="D9" s="4" t="n"/>
      <c r="E9" s="4" t="n"/>
      <c r="F9" s="4" t="n"/>
    </row>
    <row r="10">
      <c r="A10" s="4" t="inlineStr">
        <is>
          <t>T23</t>
        </is>
      </c>
      <c r="B10" s="5" t="n">
        <v>169</v>
      </c>
      <c r="C10" s="4" t="n"/>
      <c r="D10" s="4" t="n"/>
      <c r="E10" s="4" t="n"/>
      <c r="F10" s="4" t="n"/>
    </row>
    <row r="11">
      <c r="A11" s="4" t="inlineStr">
        <is>
          <t>T24</t>
        </is>
      </c>
      <c r="B11" s="5" t="n">
        <v>181</v>
      </c>
      <c r="C11" s="4" t="n"/>
      <c r="D11" s="4" t="n"/>
      <c r="E11" s="4" t="n"/>
      <c r="F11" s="4" t="n"/>
    </row>
    <row r="12">
      <c r="A12" s="4" t="inlineStr">
        <is>
          <t>T20</t>
        </is>
      </c>
      <c r="B12" s="4" t="n"/>
      <c r="C12" s="5" t="n">
        <v>165.9824561403508</v>
      </c>
      <c r="D12" s="5" t="n">
        <v>160.3333333333333</v>
      </c>
      <c r="E12" s="5" t="n">
        <v>156.4887894619608</v>
      </c>
      <c r="F12" s="5" t="n">
        <v>166</v>
      </c>
    </row>
    <row r="13">
      <c r="A13" s="4" t="inlineStr">
        <is>
          <t>T21</t>
        </is>
      </c>
      <c r="B13" s="4" t="n"/>
      <c r="C13" s="5" t="n">
        <v>168.9228070175438</v>
      </c>
      <c r="D13" s="5" t="n">
        <v>160.3333333333333</v>
      </c>
      <c r="E13" s="5" t="n">
        <v>158.4421526233726</v>
      </c>
      <c r="F13" s="5" t="n">
        <v>163</v>
      </c>
    </row>
    <row r="14">
      <c r="A14" s="4" t="inlineStr">
        <is>
          <t>T22</t>
        </is>
      </c>
      <c r="B14" s="4" t="n"/>
      <c r="C14" s="5" t="n">
        <v>171.8631578947368</v>
      </c>
      <c r="D14" s="5" t="n">
        <v>160.3333333333333</v>
      </c>
      <c r="E14" s="5" t="n">
        <v>162.5095068363608</v>
      </c>
      <c r="F14" s="5" t="n">
        <v>172</v>
      </c>
    </row>
    <row r="15">
      <c r="A15" s="4" t="inlineStr">
        <is>
          <t>T23</t>
        </is>
      </c>
      <c r="B15" s="4" t="n"/>
      <c r="C15" s="5" t="n">
        <v>174.8035087719298</v>
      </c>
      <c r="D15" s="5" t="n">
        <v>160.3333333333333</v>
      </c>
      <c r="E15" s="5" t="n">
        <v>166.2566547854526</v>
      </c>
      <c r="F15" s="5" t="n">
        <v>175</v>
      </c>
    </row>
    <row r="16">
      <c r="A16" s="4" t="inlineStr">
        <is>
          <t>T24</t>
        </is>
      </c>
      <c r="B16" s="4" t="n"/>
      <c r="C16" s="5" t="n">
        <v>177.7438596491228</v>
      </c>
      <c r="D16" s="5" t="n">
        <v>160.3333333333333</v>
      </c>
      <c r="E16" s="5" t="n">
        <v>167.0796583498168</v>
      </c>
      <c r="F16" s="5" t="n">
        <v>169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2026-09-21T05:36:14Z</dcterms:created>
  <dcterms:modified xmlns:dcterms="http://purl.org/dc/terms/" xmlns:xsi="http://www.w3.org/2001/XMLSchema-instance" xsi:type="dcterms:W3CDTF">2026-09-21T05:36:14Z</dcterms:modified>
</cp:coreProperties>
</file>